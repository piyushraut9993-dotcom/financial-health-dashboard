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Notes &amp; 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<sst xmlns="http://schemas.openxmlformats.org/spreadsheetml/2006/main" count="41" uniqueCount="40">
  <si>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Financial Health Dashboard — Monthly Data (Sample, in $000s)</t>
  </si>
  <si>
    <t xml:space="preserve">Note: Sample/illustrative figures for demo purposes. Replace with actual company data.</t>
  </si>
  <si>
    <t xml:space="preserve">Month</t>
  </si>
  <si>
    <t xml:space="preserve">Revenue ($000s)</t>
  </si>
  <si>
    <t xml:space="preserve">COGS ($000s)</t>
  </si>
  <si>
    <t xml:space="preserve">Operating Expenses ($000s)</t>
  </si>
  <si>
    <t xml:space="preserve">Total Expenses ($000s)</t>
  </si>
  <si>
    <t xml:space="preserve">Net Profit ($000s)</t>
  </si>
  <si>
    <t xml:space="preserve">Profit Margin (%)</t>
  </si>
  <si>
    <t xml:space="preserve">Cumulative Cash Flow ($000s)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</si>
  <si>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</si>
  <si>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</si>
  <si>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</si>
  <si>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</si>
  <si>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</si>
  <si>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</si>
  <si>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</si>
  <si>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</si>
  <si>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</si>
  <si>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</si>
  <si>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</si>
  <si>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</si>
  <si>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AVG</t>
  </si>
  <si>
    <t xml:space="preserve">FINANCIAL HEALTH DASHBOARD</t>
  </si>
  <si>
    <t xml:space="preserve">Revenue, Expenses, Profitability &amp; Cash Flow Overview — FY (Sample Data)</t>
  </si>
  <si>
    <t xml:space="preserve">Total Revenue</t>
  </si>
  <si>
    <t xml:space="preserve">Total Expenses</t>
  </si>
  <si>
    <t xml:space="preserve">Net Profit</t>
  </si>
  <si>
    <t xml:space="preserve">Avg Profit Margin</t>
  </si>
  <si>
    <t xml:space="preserve">Ending Cash Position</t>
  </si>
  <si>
    <t xml:space="preserve">Revenue vs Expenses Trend</t>
  </si>
  <si>
    <t xml:space="preserve">Monthly Profit Margin (%)</t>
  </si>
  <si>
    <t xml:space="preserve">Notes &amp; Assumptions</t>
  </si>
  <si>
    <t xml:space="preserve">1. All figures are illustrative SAMPLE data (in $000s) built to demonstrate dashboard structure and formulas.</t>
  </si>
  <si>
    <t xml:space="preserve">2. Total Expenses = COGS + Operating Expenses.</t>
  </si>
  <si>
    <t xml:space="preserve">3. Net Profit = Revenue - Total Expenses.</t>
  </si>
  <si>
    <t xml:space="preserve">4. Profit Margin (%) = Net Profit / Revenue.</t>
  </si>
  <si>
    <t xml:space="preserve">5. Cumulative Cash Flow = running total of Net Profit across months (simplified proxy; does not include financing/investing activities).</t>
  </si>
  <si>
    <t xml:space="preserve">6. Replace the blue input cells in the 'Raw Data' sheet with actual company figures to make the dashboard live.</t>
  </si>
  <si>
    <t xml:space="preserve">7. Built as a self-driven portfolio project to demonstrate Excel dashboarding, KPI design, and financial reporting skills.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</si>
</sst>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D6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1A3D6D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D6D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1E7F3E"/>
        <bgColor rgb="FF339966"/>
      </patternFill>
    </fill>
    <fill>
      <patternFill patternType="solid">
        <fgColor rgb="FF8E44A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F3E"/>
      <rgbColor rgb="FF000080"/>
      <rgbColor rgb="FF808000"/>
      <rgbColor rgb="FF800080"/>
      <rgbColor rgb="FF008080"/>
      <rgbColor rgb="FFCCCCCC"/>
      <rgbColor rgb="FF878787"/>
      <rgbColor rgb="FF9999FF"/>
      <rgbColor rgb="FF8E44A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555555"/>
      <rgbColor rgb="FF969696"/>
      <rgbColor rgb="FF1A3D6D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'Raw Data'!B4</c:f>
              <c:strCache>
                <c:ptCount val="1"/>
                <c:pt idx="0">
                  <c:v>Revenue ($000s)</c:v>
                </c:pt>
              </c:strCache>
            </c:strRef>
          </c:tx>
          <c:spPr>
            <a:solidFill>
              <a:srgbClr val="2e86c1"/>
            </a:solidFill>
            <a:ln w="21960">
              <a:solidFill>
                <a:srgbClr val="2e86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Data'!$B$5:$B$16</c:f>
              <c:numCache>
                <c:formatCode>\$#,##0</c:formatCode>
                <c:ptCount val="12"/>
                <c:pt idx="0">
                  <c:v>420</c:v>
                </c:pt>
                <c:pt idx="1">
                  <c:v>435</c:v>
                </c:pt>
                <c:pt idx="2">
                  <c:v>460</c:v>
                </c:pt>
                <c:pt idx="3">
                  <c:v>448</c:v>
                </c:pt>
                <c:pt idx="4">
                  <c:v>470</c:v>
                </c:pt>
                <c:pt idx="5">
                  <c:v>505</c:v>
                </c:pt>
                <c:pt idx="6">
                  <c:v>512</c:v>
                </c:pt>
                <c:pt idx="7">
                  <c:v>498</c:v>
                </c:pt>
                <c:pt idx="8">
                  <c:v>530</c:v>
                </c:pt>
                <c:pt idx="9">
                  <c:v>545</c:v>
                </c:pt>
                <c:pt idx="10">
                  <c:v>560</c:v>
                </c:pt>
                <c:pt idx="11">
                  <c:v>590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'Raw Data'!E4</c:f>
              <c:strCache>
                <c:ptCount val="1"/>
                <c:pt idx="0">
                  <c:v>Total Expenses ($000s)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Data'!$E$5:$E$16</c:f>
              <c:numCache>
                <c:formatCode>\$#,##0</c:formatCode>
                <c:ptCount val="12"/>
                <c:pt idx="0">
                  <c:v>305</c:v>
                </c:pt>
                <c:pt idx="1">
                  <c:v>313</c:v>
                </c:pt>
                <c:pt idx="2">
                  <c:v>325</c:v>
                </c:pt>
                <c:pt idx="3">
                  <c:v>324</c:v>
                </c:pt>
                <c:pt idx="4">
                  <c:v>334</c:v>
                </c:pt>
                <c:pt idx="5">
                  <c:v>353</c:v>
                </c:pt>
                <c:pt idx="6">
                  <c:v>360</c:v>
                </c:pt>
                <c:pt idx="7">
                  <c:v>356</c:v>
                </c:pt>
                <c:pt idx="8">
                  <c:v>373</c:v>
                </c:pt>
                <c:pt idx="9">
                  <c:v>380</c:v>
                </c:pt>
                <c:pt idx="10">
                  <c:v>388</c:v>
                </c:pt>
                <c:pt idx="11">
                  <c:v>405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'Raw Data'!F4</c:f>
              <c:strCache>
                <c:ptCount val="1"/>
                <c:pt idx="0">
                  <c:v>Net Profit ($000s)</c:v>
                </c:pt>
              </c:strCache>
            </c:strRef>
          </c:tx>
          <c:spPr>
            <a:solidFill>
              <a:srgbClr val="1e7f3e"/>
            </a:solidFill>
            <a:ln w="21960">
              <a:solidFill>
                <a:srgbClr val="1e7f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Data'!$F$5:$F$16</c:f>
              <c:numCache>
                <c:formatCode>\$#,##0</c:formatCode>
                <c:ptCount val="12"/>
                <c:pt idx="0">
                  <c:v>115</c:v>
                </c:pt>
                <c:pt idx="1">
                  <c:v>122</c:v>
                </c:pt>
                <c:pt idx="2">
                  <c:v>135</c:v>
                </c:pt>
                <c:pt idx="3">
                  <c:v>124</c:v>
                </c:pt>
                <c:pt idx="4">
                  <c:v>136</c:v>
                </c:pt>
                <c:pt idx="5">
                  <c:v>152</c:v>
                </c:pt>
                <c:pt idx="6">
                  <c:v>152</c:v>
                </c:pt>
                <c:pt idx="7">
                  <c:v>142</c:v>
                </c:pt>
                <c:pt idx="8">
                  <c:v>157</c:v>
                </c:pt>
                <c:pt idx="9">
                  <c:v>165</c:v>
                </c:pt>
                <c:pt idx="10">
                  <c:v>172</c:v>
                </c:pt>
                <c:pt idx="11">
                  <c:v>185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339140"/>
        <c:axId val="71340146"/>
      </c:lineChart>
      <c:catAx>
        <c:axId val="26339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40146"/>
        <c:crosses val="autoZero"/>
        <c:auto val="1"/>
        <c:lblAlgn val="ctr"/>
        <c:lblOffset val="100"/>
        <c:noMultiLvlLbl val="0"/>
      </c:catAx>
      <c:valAx>
        <c:axId val="71340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39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'Raw Data'!G4</c:f>
              <c:strCache>
                <c:ptCount val="1"/>
                <c:pt idx="0">
                  <c:v>Profit Margin (%)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Data'!$G$5:$G$16</c:f>
              <c:numCache>
                <c:formatCode>0.0%</c:formatCode>
                <c:ptCount val="12"/>
                <c:pt idx="0">
                  <c:v>0.273809523809524</c:v>
                </c:pt>
                <c:pt idx="1">
                  <c:v>0.280459770114943</c:v>
                </c:pt>
                <c:pt idx="2">
                  <c:v>0.293478260869565</c:v>
                </c:pt>
                <c:pt idx="3">
                  <c:v>0.276785714285714</c:v>
                </c:pt>
                <c:pt idx="4">
                  <c:v>0.28936170212766</c:v>
                </c:pt>
                <c:pt idx="5">
                  <c:v>0.300990099009901</c:v>
                </c:pt>
                <c:pt idx="6">
                  <c:v>0.296875</c:v>
                </c:pt>
                <c:pt idx="7">
                  <c:v>0.285140562248996</c:v>
                </c:pt>
                <c:pt idx="8">
                  <c:v>0.29622641509434</c:v>
                </c:pt>
                <c:pt idx="9">
                  <c:v>0.302752293577982</c:v>
                </c:pt>
                <c:pt idx="10">
                  <c:v>0.307142857142857</c:v>
                </c:pt>
                <c:pt idx="11">
                  <c:v>0.313559322033898</c:v>
                </c:pt>
              </c:numCache>
            </c:numRef>
          </c:val>
        </c:ser>
        <c:gapWidth val="150"/>
        <c:overlap val="0"/>
        <c:axId val="60245636"/>
        <c:axId val="54012261"/>
      </c:barChart>
      <c:catAx>
        <c:axId val="602456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12261"/>
        <c:crosses val="autoZero"/>
        <c:auto val="1"/>
        <c:lblAlgn val="ctr"/>
        <c:lblOffset val="100"/>
        <c:noMultiLvlLbl val="0"/>
      </c:catAx>
      <c:valAx>
        <c:axId val="54012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45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'Raw Data'!H4</c:f>
              <c:strCache>
                <c:ptCount val="1"/>
                <c:pt idx="0">
                  <c:v>Cumulative Cash Flow ($000s)</c:v>
                </c:pt>
              </c:strCache>
            </c:strRef>
          </c:tx>
          <c:spPr>
            <a:solidFill>
              <a:srgbClr val="1a3d6d"/>
            </a:solidFill>
            <a:ln w="24840">
              <a:solidFill>
                <a:srgbClr val="1a3d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Data'!$H$5:$H$16</c:f>
              <c:numCache>
                <c:formatCode>\$#,##0</c:formatCode>
                <c:ptCount val="12"/>
                <c:pt idx="0">
                  <c:v>115</c:v>
                </c:pt>
                <c:pt idx="1">
                  <c:v>237</c:v>
                </c:pt>
                <c:pt idx="2">
                  <c:v>372</c:v>
                </c:pt>
                <c:pt idx="3">
                  <c:v>496</c:v>
                </c:pt>
                <c:pt idx="4">
                  <c:v>632</c:v>
                </c:pt>
                <c:pt idx="5">
                  <c:v>784</c:v>
                </c:pt>
                <c:pt idx="6">
                  <c:v>936</c:v>
                </c:pt>
                <c:pt idx="7">
                  <c:v>1078</c:v>
                </c:pt>
                <c:pt idx="8">
                  <c:v>1235</c:v>
                </c:pt>
                <c:pt idx="9">
                  <c:v>1400</c:v>
                </c:pt>
                <c:pt idx="10">
                  <c:v>1572</c:v>
                </c:pt>
                <c:pt idx="11">
                  <c:v>1757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284578"/>
        <c:axId val="69595012"/>
      </c:lineChart>
      <c:catAx>
        <c:axId val="482845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95012"/>
        <c:crosses val="autoZero"/>
        <c:auto val="1"/>
        <c:lblAlgn val="ctr"/>
        <c:lblOffset val="100"/>
        <c:noMultiLvlLbl val="0"/>
      </c:catAx>
      <c:valAx>
        <c:axId val="69595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Cash Flow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845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101160</xdr:rowOff>
    </xdr:from>
    <xdr:to>
      <xdr:col>8</xdr:col>
      <xdr:colOff>692280</xdr:colOff>
      <xdr:row>24</xdr:row>
      <xdr:rowOff>108720</xdr:rowOff>
    </xdr:to>
    <xdr:graphicFrame>
      <xdr:nvGraphicFramePr>
        <xdr:cNvPr id="0" name="Chart 1"/>
        <xdr:cNvGraphicFramePr/>
      </xdr:nvGraphicFramePr>
      <xdr:xfrm>
        <a:off x="211320" y="1905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86400</xdr:rowOff>
    </xdr:from>
    <xdr:to>
      <xdr:col>8</xdr:col>
      <xdr:colOff>692280</xdr:colOff>
      <xdr:row>43</xdr:row>
      <xdr:rowOff>93960</xdr:rowOff>
    </xdr:to>
    <xdr:graphicFrame>
      <xdr:nvGraphicFramePr>
        <xdr:cNvPr id="1" name="Chart 2"/>
        <xdr:cNvGraphicFramePr/>
      </xdr:nvGraphicFramePr>
      <xdr:xfrm>
        <a:off x="211320" y="5524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28</xdr:row>
      <xdr:rowOff>86400</xdr:rowOff>
    </xdr:from>
    <xdr:to>
      <xdr:col>18</xdr:col>
      <xdr:colOff>81000</xdr:colOff>
      <xdr:row>43</xdr:row>
      <xdr:rowOff>93960</xdr:rowOff>
    </xdr:to>
    <xdr:graphicFrame>
      <xdr:nvGraphicFramePr>
        <xdr:cNvPr id="2" name="Chart 3"/>
        <xdr:cNvGraphicFramePr/>
      </xdr:nvGraphicFramePr>
      <xdr:xfrm>
        <a:off x="7189560" y="5524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420</v>
      </c>
      <c r="C5" s="5" t="n">
        <v>210</v>
      </c>
      <c r="D5" s="5" t="n">
        <v>95</v>
      </c>
      <c r="E5" s="6" t="n">
        <f aca="false">C5+D5</f>
        <v>305</v>
      </c>
      <c r="F5" s="6" t="n">
        <f aca="false">B5-E5</f>
        <v>115</v>
      </c>
      <c r="G5" s="7" t="n">
        <f aca="false">F5/B5</f>
        <v>0.273809523809524</v>
      </c>
      <c r="H5" s="6" t="n">
        <f aca="false">F5</f>
        <v>115</v>
      </c>
    </row>
    <row r="6" customFormat="false" ht="15" hidden="false" customHeight="false" outlineLevel="0" collapsed="false">
      <c r="A6" s="4" t="s">
        <v>11</v>
      </c>
      <c r="B6" s="5" t="n">
        <v>435</v>
      </c>
      <c r="C6" s="5" t="n">
        <v>215</v>
      </c>
      <c r="D6" s="5" t="n">
        <v>98</v>
      </c>
      <c r="E6" s="6" t="n">
        <f aca="false">C6+D6</f>
        <v>313</v>
      </c>
      <c r="F6" s="6" t="n">
        <f aca="false">B6-E6</f>
        <v>122</v>
      </c>
      <c r="G6" s="7" t="n">
        <f aca="false">F6/B6</f>
        <v>0.280459770114943</v>
      </c>
      <c r="H6" s="6" t="n">
        <f aca="false">H5+F6</f>
        <v>237</v>
      </c>
    </row>
    <row r="7" customFormat="false" ht="15" hidden="false" customHeight="false" outlineLevel="0" collapsed="false">
      <c r="A7" s="4" t="s">
        <v>12</v>
      </c>
      <c r="B7" s="5" t="n">
        <v>460</v>
      </c>
      <c r="C7" s="5" t="n">
        <v>225</v>
      </c>
      <c r="D7" s="5" t="n">
        <v>100</v>
      </c>
      <c r="E7" s="6" t="n">
        <f aca="false">C7+D7</f>
        <v>325</v>
      </c>
      <c r="F7" s="6" t="n">
        <f aca="false">B7-E7</f>
        <v>135</v>
      </c>
      <c r="G7" s="7" t="n">
        <f aca="false">F7/B7</f>
        <v>0.293478260869565</v>
      </c>
      <c r="H7" s="6" t="n">
        <f aca="false">H6+F7</f>
        <v>372</v>
      </c>
    </row>
    <row r="8" customFormat="false" ht="15" hidden="false" customHeight="false" outlineLevel="0" collapsed="false">
      <c r="A8" s="4" t="s">
        <v>13</v>
      </c>
      <c r="B8" s="5" t="n">
        <v>448</v>
      </c>
      <c r="C8" s="5" t="n">
        <v>222</v>
      </c>
      <c r="D8" s="5" t="n">
        <v>102</v>
      </c>
      <c r="E8" s="6" t="n">
        <f aca="false">C8+D8</f>
        <v>324</v>
      </c>
      <c r="F8" s="6" t="n">
        <f aca="false">B8-E8</f>
        <v>124</v>
      </c>
      <c r="G8" s="7" t="n">
        <f aca="false">F8/B8</f>
        <v>0.276785714285714</v>
      </c>
      <c r="H8" s="6" t="n">
        <f aca="false">H7+F8</f>
        <v>496</v>
      </c>
    </row>
    <row r="9" customFormat="false" ht="15" hidden="false" customHeight="false" outlineLevel="0" collapsed="false">
      <c r="A9" s="4" t="s">
        <v>14</v>
      </c>
      <c r="B9" s="5" t="n">
        <v>470</v>
      </c>
      <c r="C9" s="5" t="n">
        <v>230</v>
      </c>
      <c r="D9" s="5" t="n">
        <v>104</v>
      </c>
      <c r="E9" s="6" t="n">
        <f aca="false">C9+D9</f>
        <v>334</v>
      </c>
      <c r="F9" s="6" t="n">
        <f aca="false">B9-E9</f>
        <v>136</v>
      </c>
      <c r="G9" s="7" t="n">
        <f aca="false">F9/B9</f>
        <v>0.28936170212766</v>
      </c>
      <c r="H9" s="6" t="n">
        <f aca="false">H8+F9</f>
        <v>632</v>
      </c>
    </row>
    <row r="10" customFormat="false" ht="15" hidden="false" customHeight="false" outlineLevel="0" collapsed="false">
      <c r="A10" s="4" t="s">
        <v>15</v>
      </c>
      <c r="B10" s="5" t="n">
        <v>505</v>
      </c>
      <c r="C10" s="5" t="n">
        <v>245</v>
      </c>
      <c r="D10" s="5" t="n">
        <v>108</v>
      </c>
      <c r="E10" s="6" t="n">
        <f aca="false">C10+D10</f>
        <v>353</v>
      </c>
      <c r="F10" s="6" t="n">
        <f aca="false">B10-E10</f>
        <v>152</v>
      </c>
      <c r="G10" s="7" t="n">
        <f aca="false">F10/B10</f>
        <v>0.300990099009901</v>
      </c>
      <c r="H10" s="6" t="n">
        <f aca="false">H9+F10</f>
        <v>784</v>
      </c>
    </row>
    <row r="11" customFormat="false" ht="15" hidden="false" customHeight="false" outlineLevel="0" collapsed="false">
      <c r="A11" s="4" t="s">
        <v>16</v>
      </c>
      <c r="B11" s="5" t="n">
        <v>512</v>
      </c>
      <c r="C11" s="5" t="n">
        <v>250</v>
      </c>
      <c r="D11" s="5" t="n">
        <v>110</v>
      </c>
      <c r="E11" s="6" t="n">
        <f aca="false">C11+D11</f>
        <v>360</v>
      </c>
      <c r="F11" s="6" t="n">
        <f aca="false">B11-E11</f>
        <v>152</v>
      </c>
      <c r="G11" s="7" t="n">
        <f aca="false">F11/B11</f>
        <v>0.296875</v>
      </c>
      <c r="H11" s="6" t="n">
        <f aca="false">H10+F11</f>
        <v>936</v>
      </c>
    </row>
    <row r="12" customFormat="false" ht="15" hidden="false" customHeight="false" outlineLevel="0" collapsed="false">
      <c r="A12" s="4" t="s">
        <v>17</v>
      </c>
      <c r="B12" s="5" t="n">
        <v>498</v>
      </c>
      <c r="C12" s="5" t="n">
        <v>244</v>
      </c>
      <c r="D12" s="5" t="n">
        <v>112</v>
      </c>
      <c r="E12" s="6" t="n">
        <f aca="false">C12+D12</f>
        <v>356</v>
      </c>
      <c r="F12" s="6" t="n">
        <f aca="false">B12-E12</f>
        <v>142</v>
      </c>
      <c r="G12" s="7" t="n">
        <f aca="false">F12/B12</f>
        <v>0.285140562248996</v>
      </c>
      <c r="H12" s="6" t="n">
        <f aca="false">H11+F12</f>
        <v>1078</v>
      </c>
    </row>
    <row r="13" customFormat="false" ht="15" hidden="false" customHeight="false" outlineLevel="0" collapsed="false">
      <c r="A13" s="4" t="s">
        <v>18</v>
      </c>
      <c r="B13" s="5" t="n">
        <v>530</v>
      </c>
      <c r="C13" s="5" t="n">
        <v>258</v>
      </c>
      <c r="D13" s="5" t="n">
        <v>115</v>
      </c>
      <c r="E13" s="6" t="n">
        <f aca="false">C13+D13</f>
        <v>373</v>
      </c>
      <c r="F13" s="6" t="n">
        <f aca="false">B13-E13</f>
        <v>157</v>
      </c>
      <c r="G13" s="7" t="n">
        <f aca="false">F13/B13</f>
        <v>0.29622641509434</v>
      </c>
      <c r="H13" s="6" t="n">
        <f aca="false">H12+F13</f>
        <v>1235</v>
      </c>
    </row>
    <row r="14" customFormat="false" ht="15" hidden="false" customHeight="false" outlineLevel="0" collapsed="false">
      <c r="A14" s="4" t="s">
        <v>19</v>
      </c>
      <c r="B14" s="5" t="n">
        <v>545</v>
      </c>
      <c r="C14" s="5" t="n">
        <v>262</v>
      </c>
      <c r="D14" s="5" t="n">
        <v>118</v>
      </c>
      <c r="E14" s="6" t="n">
        <f aca="false">C14+D14</f>
        <v>380</v>
      </c>
      <c r="F14" s="6" t="n">
        <f aca="false">B14-E14</f>
        <v>165</v>
      </c>
      <c r="G14" s="7" t="n">
        <f aca="false">F14/B14</f>
        <v>0.302752293577982</v>
      </c>
      <c r="H14" s="6" t="n">
        <f aca="false">H13+F14</f>
        <v>1400</v>
      </c>
    </row>
    <row r="15" customFormat="false" ht="15" hidden="false" customHeight="false" outlineLevel="0" collapsed="false">
      <c r="A15" s="4" t="s">
        <v>20</v>
      </c>
      <c r="B15" s="5" t="n">
        <v>560</v>
      </c>
      <c r="C15" s="5" t="n">
        <v>268</v>
      </c>
      <c r="D15" s="5" t="n">
        <v>120</v>
      </c>
      <c r="E15" s="6" t="n">
        <f aca="false">C15+D15</f>
        <v>388</v>
      </c>
      <c r="F15" s="6" t="n">
        <f aca="false">B15-E15</f>
        <v>172</v>
      </c>
      <c r="G15" s="7" t="n">
        <f aca="false">F15/B15</f>
        <v>0.307142857142857</v>
      </c>
      <c r="H15" s="6" t="n">
        <f aca="false">H14+F15</f>
        <v>1572</v>
      </c>
    </row>
    <row r="16" customFormat="false" ht="15" hidden="false" customHeight="false" outlineLevel="0" collapsed="false">
      <c r="A16" s="4" t="s">
        <v>21</v>
      </c>
      <c r="B16" s="5" t="n">
        <v>590</v>
      </c>
      <c r="C16" s="5" t="n">
        <v>280</v>
      </c>
      <c r="D16" s="5" t="n">
        <v>125</v>
      </c>
      <c r="E16" s="6" t="n">
        <f aca="false">C16+D16</f>
        <v>405</v>
      </c>
      <c r="F16" s="6" t="n">
        <f aca="false">B16-E16</f>
        <v>185</v>
      </c>
      <c r="G16" s="7" t="n">
        <f aca="false">F16/B16</f>
        <v>0.313559322033898</v>
      </c>
      <c r="H16" s="6" t="n">
        <f aca="false">H15+F16</f>
        <v>1757</v>
      </c>
    </row>
    <row r="18" customFormat="false" ht="15" hidden="false" customHeight="false" outlineLevel="0" collapsed="false">
      <c r="A18" s="8" t="s">
        <v>22</v>
      </c>
      <c r="B18" s="9" t="n">
        <f aca="false">SUM(B5:B16)</f>
        <v>5973</v>
      </c>
      <c r="C18" s="9" t="n">
        <f aca="false">SUM(C5:C16)</f>
        <v>2909</v>
      </c>
      <c r="D18" s="9" t="n">
        <f aca="false">SUM(D5:D16)</f>
        <v>1307</v>
      </c>
      <c r="E18" s="9" t="n">
        <f aca="false">SUM(E5:E16)</f>
        <v>4216</v>
      </c>
      <c r="F18" s="9" t="n">
        <f aca="false">SUM(F5:F16)</f>
        <v>1757</v>
      </c>
      <c r="G18" s="10" t="n">
        <f aca="false">F18/B18</f>
        <v>0.294157040013394</v>
      </c>
      <c r="H18" s="9" t="n">
        <f aca="false">H16</f>
        <v>1757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7" min="2" style="0" width="11"/>
  </cols>
  <sheetData>
    <row r="2" customFormat="false" ht="22.05" hidden="false" customHeight="false" outlineLevel="0" collapsed="false">
      <c r="B2" s="11" t="s">
        <v>23</v>
      </c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false" outlineLevel="0" collapsed="false">
      <c r="B3" s="12" t="s">
        <v>24</v>
      </c>
      <c r="C3" s="12"/>
      <c r="D3" s="12"/>
      <c r="E3" s="12"/>
      <c r="F3" s="12"/>
      <c r="G3" s="12"/>
      <c r="H3" s="12"/>
      <c r="I3" s="12"/>
      <c r="J3" s="12"/>
      <c r="K3" s="12"/>
    </row>
    <row r="5" customFormat="false" ht="15" hidden="false" customHeight="false" outlineLevel="0" collapsed="false">
      <c r="B5" s="13" t="s">
        <v>25</v>
      </c>
      <c r="C5" s="13"/>
      <c r="E5" s="14" t="s">
        <v>26</v>
      </c>
      <c r="F5" s="14"/>
      <c r="H5" s="15" t="s">
        <v>27</v>
      </c>
      <c r="I5" s="15"/>
      <c r="K5" s="16" t="s">
        <v>28</v>
      </c>
      <c r="L5" s="16"/>
      <c r="N5" s="17" t="s">
        <v>29</v>
      </c>
      <c r="O5" s="17"/>
    </row>
    <row r="6" customFormat="false" ht="15" hidden="false" customHeight="false" outlineLevel="0" collapsed="false">
      <c r="B6" s="18" t="n">
        <f aca="false">'Raw Data'!B18</f>
        <v>5973</v>
      </c>
      <c r="C6" s="18"/>
      <c r="E6" s="19" t="n">
        <f aca="false">'Raw Data'!E18</f>
        <v>4216</v>
      </c>
      <c r="F6" s="19"/>
      <c r="H6" s="20" t="n">
        <f aca="false">'Raw Data'!F18</f>
        <v>1757</v>
      </c>
      <c r="I6" s="20"/>
      <c r="K6" s="21" t="n">
        <f aca="false">'Raw Data'!G18</f>
        <v>0.294157040013394</v>
      </c>
      <c r="L6" s="21"/>
      <c r="N6" s="22" t="n">
        <f aca="false">'Raw Data'!H18</f>
        <v>1757</v>
      </c>
      <c r="O6" s="22"/>
    </row>
    <row r="7" customFormat="false" ht="15" hidden="false" customHeight="false" outlineLevel="0" collapsed="false">
      <c r="B7" s="18"/>
      <c r="C7" s="18"/>
      <c r="E7" s="19"/>
      <c r="F7" s="19"/>
      <c r="H7" s="20"/>
      <c r="I7" s="20"/>
      <c r="K7" s="21"/>
      <c r="L7" s="21"/>
      <c r="N7" s="22"/>
      <c r="O7" s="22"/>
    </row>
    <row r="10" customFormat="false" ht="16.15" hidden="false" customHeight="false" outlineLevel="0" collapsed="false">
      <c r="B10" s="23" t="s">
        <v>30</v>
      </c>
    </row>
    <row r="29" customFormat="false" ht="16.15" hidden="false" customHeight="false" outlineLevel="0" collapsed="false">
      <c r="B29" s="23" t="s">
        <v>31</v>
      </c>
      <c r="K29" s="23" t="s">
        <v>9</v>
      </c>
    </row>
  </sheetData>
  <mergeCells count="12">
    <mergeCell ref="B2:K2"/>
    <mergeCell ref="B3:K3"/>
    <mergeCell ref="B5:C5"/>
    <mergeCell ref="E5:F5"/>
    <mergeCell ref="H5:I5"/>
    <mergeCell ref="K5:L5"/>
    <mergeCell ref="N5:O5"/>
    <mergeCell ref="B6:C7"/>
    <mergeCell ref="E6:F7"/>
    <mergeCell ref="H6:I7"/>
    <mergeCell ref="K6:L7"/>
    <mergeCell ref="N6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3" t="s">
        <v>32</v>
      </c>
    </row>
    <row r="3" customFormat="false" ht="15" hidden="false" customHeight="false" outlineLevel="0" collapsed="false">
      <c r="A3" s="24" t="s">
        <v>33</v>
      </c>
    </row>
    <row r="4" customFormat="false" ht="15" hidden="false" customHeight="false" outlineLevel="0" collapsed="false">
      <c r="A4" s="24" t="s">
        <v>34</v>
      </c>
    </row>
    <row r="5" customFormat="false" ht="15" hidden="false" customHeight="false" outlineLevel="0" collapsed="false">
      <c r="A5" s="24" t="s">
        <v>35</v>
      </c>
    </row>
    <row r="6" customFormat="false" ht="15" hidden="false" customHeight="false" outlineLevel="0" collapsed="false">
      <c r="A6" s="24" t="s">
        <v>36</v>
      </c>
    </row>
    <row r="7" customFormat="false" ht="15" hidden="false" customHeight="false" outlineLevel="0" collapsed="false">
      <c r="A7" s="24" t="s">
        <v>37</v>
      </c>
    </row>
    <row r="8" customFormat="false" ht="15" hidden="false" customHeight="false" outlineLevel="0" collapsed="false">
      <c r="A8" s="24" t="s">
        <v>38</v>
      </c>
    </row>
    <row r="9" customFormat="false" ht="15" hidden="false" customHeight="false" outlineLevel="0" collapsed="false">
      <c r="A9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2026-09-12T12:46:38Z</dcterms:created>
  <dc:creator>openpyxl</dc:creator>
  <dc:description/>
  <dc:language>en-US</dc:language>
  <cp:lastModifiedBy/>
  <dcterms:modified xsi:type="dcterms:W3CDTF">2026-09-12T12:46:44Z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